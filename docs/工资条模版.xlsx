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cao/Developer/payslip-mailer/docs/"/>
    </mc:Choice>
  </mc:AlternateContent>
  <xr:revisionPtr revIDLastSave="0" documentId="13_ncr:1_{2B621B76-65EF-AF4F-88B0-319E3EE2BF29}" xr6:coauthVersionLast="47" xr6:coauthVersionMax="47" xr10:uidLastSave="{00000000-0000-0000-0000-000000000000}"/>
  <bookViews>
    <workbookView xWindow="960" yWindow="660" windowWidth="28440" windowHeight="18460" xr2:uid="{00000000-000D-0000-FFFF-FFFF00000000}"/>
  </bookViews>
  <sheets>
    <sheet name="员工工资条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User</author>
  </authors>
  <commentList>
    <comment ref="E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10月份广州部分人员调薪 体现在10月份工资中 时间追溯至9月份</t>
        </r>
      </text>
    </comment>
    <comment ref="R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2014年4月份起派驻补贴统一调增至1500元/月
5月份起统一调至2000元</t>
        </r>
      </text>
    </comment>
    <comment ref="U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实习生工资
劳务报酬</t>
        </r>
      </text>
    </comment>
    <comment ref="W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加班奖金</t>
        </r>
      </text>
    </comment>
    <comment ref="Y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作者:广州市</t>
        </r>
        <r>
          <rPr>
            <sz val="9"/>
            <rFont val="宋体"/>
            <family val="3"/>
            <charset val="134"/>
          </rPr>
          <t>最低工资标准2100元</t>
        </r>
      </text>
    </comment>
    <comment ref="AB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个人承担公司多支付
的公积金部分
（高于实际基数部分）</t>
        </r>
      </text>
    </comment>
    <comment ref="AF2" authorId="1" shapeId="0" xr:uid="{00000000-0006-0000-0000-000007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作者:
北京地区：5080基数*0.02%=101.6
大额医疗个人部分是3元
所以实104.6+3=104.6</t>
        </r>
      </text>
    </comment>
    <comment ref="AJ2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2019个税预扣缴统计表O列</t>
        </r>
      </text>
    </comment>
    <comment ref="AN2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来源2019个税预扣缴统计表</t>
        </r>
      </text>
    </comment>
    <comment ref="AR2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BT-BU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User</author>
  </authors>
  <commentList>
    <comment ref="F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10月份广州部分人员调薪 体现在10月份工资中 时间追溯至9月份</t>
        </r>
      </text>
    </comment>
    <comment ref="V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2014年4月份起派驻补贴统一调增至1500元/月
5月份起统一调至2000元</t>
        </r>
      </text>
    </comment>
    <comment ref="Y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实习生工资
劳务报酬</t>
        </r>
      </text>
    </comment>
    <comment ref="AA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加班奖金</t>
        </r>
      </text>
    </comment>
    <comment ref="BM2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2019个税预扣缴统计表O列</t>
        </r>
      </text>
    </comment>
    <comment ref="BQ2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来源2019个税预扣缴统计表</t>
        </r>
      </text>
    </comment>
    <comment ref="BW2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BT-BU</t>
        </r>
      </text>
    </comment>
    <comment ref="AC3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作者:广州市</t>
        </r>
        <r>
          <rPr>
            <sz val="9"/>
            <rFont val="宋体"/>
            <family val="3"/>
            <charset val="134"/>
          </rPr>
          <t>最低工资标准2100元</t>
        </r>
      </text>
    </comment>
    <comment ref="AF3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个人承担公司多支付
的公积金部分
（高于实际基数部分）</t>
        </r>
      </text>
    </comment>
    <comment ref="BI3" authorId="1" shapeId="0" xr:uid="{00000000-0006-0000-0100-00000A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作者:
北京地区：5080基数*0.02%=101.6
大额医疗个人部分是3元
所以实104.6+3=104.6</t>
        </r>
      </text>
    </comment>
  </commentList>
</comments>
</file>

<file path=xl/sharedStrings.xml><?xml version="1.0" encoding="utf-8"?>
<sst xmlns="http://schemas.openxmlformats.org/spreadsheetml/2006/main" count="197" uniqueCount="89">
  <si>
    <t>备注</t>
  </si>
  <si>
    <t>序号</t>
  </si>
  <si>
    <t>月份</t>
  </si>
  <si>
    <t>公司</t>
  </si>
  <si>
    <t>人员</t>
  </si>
  <si>
    <t>应
出勤</t>
  </si>
  <si>
    <t>实际 出勤</t>
  </si>
  <si>
    <t>二级
部门</t>
  </si>
  <si>
    <t>三级
部门</t>
  </si>
  <si>
    <t>固定基本工资</t>
  </si>
  <si>
    <t>岗位工资</t>
  </si>
  <si>
    <t>绩效奖金</t>
  </si>
  <si>
    <t>补贴</t>
  </si>
  <si>
    <r>
      <rPr>
        <sz val="9"/>
        <color theme="1"/>
        <rFont val="宋体"/>
        <family val="3"/>
        <charset val="134"/>
      </rPr>
      <t>新增</t>
    </r>
    <r>
      <rPr>
        <sz val="9"/>
        <color theme="1"/>
        <rFont val="Times New Roman"/>
        <family val="1"/>
      </rPr>
      <t>/</t>
    </r>
    <r>
      <rPr>
        <sz val="9"/>
        <color theme="1"/>
        <rFont val="宋体"/>
        <family val="3"/>
        <charset val="134"/>
      </rPr>
      <t>试用
调整</t>
    </r>
  </si>
  <si>
    <t>离职调整</t>
  </si>
  <si>
    <t>电脑补贴</t>
  </si>
  <si>
    <t>特殊津贴
月度提成</t>
  </si>
  <si>
    <t>派驻补贴</t>
  </si>
  <si>
    <t>差旅补贴</t>
  </si>
  <si>
    <t>离职补偿</t>
  </si>
  <si>
    <t>兼职津贴</t>
  </si>
  <si>
    <t>奖金</t>
  </si>
  <si>
    <t>加班津贴</t>
  </si>
  <si>
    <t>事假天数</t>
  </si>
  <si>
    <t>病假扣款</t>
  </si>
  <si>
    <t>事假扣款</t>
  </si>
  <si>
    <r>
      <rPr>
        <sz val="9"/>
        <color theme="1"/>
        <rFont val="宋体"/>
        <family val="3"/>
        <charset val="134"/>
      </rPr>
      <t>迟到早退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宋体"/>
        <family val="3"/>
        <charset val="134"/>
      </rPr>
      <t>未打卡扣款</t>
    </r>
  </si>
  <si>
    <t>其他扣款</t>
  </si>
  <si>
    <t>补发
或
扣发</t>
  </si>
  <si>
    <t>工资总额</t>
  </si>
  <si>
    <t>养老保险</t>
  </si>
  <si>
    <t>医疗保险</t>
  </si>
  <si>
    <t>失业保险</t>
  </si>
  <si>
    <t>公积金</t>
  </si>
  <si>
    <t>个人小计</t>
  </si>
  <si>
    <t>本期累计预扣预缴应税额</t>
  </si>
  <si>
    <t>适用税率</t>
  </si>
  <si>
    <t>速算
扣除数</t>
  </si>
  <si>
    <t>本期累计代扣代缴
个人所得税</t>
  </si>
  <si>
    <t>往期累计已预扣预缴税额</t>
  </si>
  <si>
    <t>往来扣款</t>
  </si>
  <si>
    <t>其他</t>
  </si>
  <si>
    <t>实发工资</t>
  </si>
  <si>
    <t>本期实际应预扣预缴税额税额</t>
  </si>
  <si>
    <t>邮箱</t>
  </si>
  <si>
    <t>事假16小时</t>
  </si>
  <si>
    <t>1</t>
  </si>
  <si>
    <t>深圳高科</t>
  </si>
  <si>
    <t>张三</t>
  </si>
  <si>
    <t>后勤</t>
  </si>
  <si>
    <t>人事行政部</t>
  </si>
  <si>
    <t>试用薪酬</t>
  </si>
  <si>
    <t>转正薪酬</t>
  </si>
  <si>
    <t>试用期差额</t>
  </si>
  <si>
    <t>缺勤扣发当月工资</t>
  </si>
  <si>
    <t>福利</t>
  </si>
  <si>
    <t>入职时间</t>
  </si>
  <si>
    <t>一级
部门</t>
  </si>
  <si>
    <t>人员
级别</t>
  </si>
  <si>
    <t>假期天数</t>
  </si>
  <si>
    <t>扣款</t>
  </si>
  <si>
    <t>缴费类别</t>
  </si>
  <si>
    <t>缴费
子类别</t>
  </si>
  <si>
    <t>各项保险缴费基数</t>
  </si>
  <si>
    <t>各项保险缴费比例</t>
  </si>
  <si>
    <t>公司缴费金额</t>
  </si>
  <si>
    <t>个人缴费金额</t>
  </si>
  <si>
    <t>应发工资</t>
  </si>
  <si>
    <t>罚款</t>
  </si>
  <si>
    <t>缴费基数</t>
  </si>
  <si>
    <t>工伤保险</t>
  </si>
  <si>
    <t>生育保险</t>
  </si>
  <si>
    <t>公司小计</t>
  </si>
  <si>
    <t>公司比例</t>
  </si>
  <si>
    <t>个人比例</t>
  </si>
  <si>
    <t>缴费比例</t>
  </si>
  <si>
    <t>广州蜂巢</t>
  </si>
  <si>
    <t>蜂巢互联</t>
  </si>
  <si>
    <t>BAND2</t>
  </si>
  <si>
    <t>外埠城镇户口</t>
  </si>
  <si>
    <t>n/a</t>
  </si>
  <si>
    <t>2</t>
  </si>
  <si>
    <t>20</t>
  </si>
  <si>
    <t>18</t>
  </si>
  <si>
    <t>zili</t>
    <phoneticPr fontId="7" type="noConversion"/>
  </si>
  <si>
    <t>sam</t>
    <phoneticPr fontId="7" type="noConversion"/>
  </si>
  <si>
    <t>dongmei</t>
    <phoneticPr fontId="7" type="noConversion"/>
  </si>
  <si>
    <t>3erwqer</t>
    <phoneticPr fontId="7" type="noConversion"/>
  </si>
  <si>
    <t>chencao0524@gmail.com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</si>
</sst>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yyyy/m/d;@"/>
    <numFmt numFmtId="178" formatCode="0.00_ "/>
    <numFmt numFmtId="179" formatCode="yyyy/mm/dd"/>
    <numFmt numFmtId="180" formatCode="0.00_);[Red]\(0.00\)"/>
  </numFmts>
  <fonts count="10">
    <font>
      <sz val="12"/>
      <color theme="1"/>
      <name val="宋体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4" fillId="0" borderId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176" fontId="1" fillId="0" borderId="0" xfId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/>
    <xf numFmtId="49" fontId="2" fillId="0" borderId="0" xfId="0" applyNumberFormat="1" applyFont="1"/>
    <xf numFmtId="177" fontId="2" fillId="0" borderId="0" xfId="0" applyNumberFormat="1" applyFont="1"/>
    <xf numFmtId="177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2" fillId="0" borderId="0" xfId="0" applyNumberFormat="1" applyFont="1"/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176" fontId="3" fillId="2" borderId="2" xfId="1" applyFont="1" applyFill="1" applyBorder="1" applyAlignment="1">
      <alignment horizontal="center" vertical="center" wrapText="1"/>
    </xf>
    <xf numFmtId="176" fontId="3" fillId="2" borderId="2" xfId="1" applyFont="1" applyFill="1" applyBorder="1" applyAlignment="1">
      <alignment horizontal="left"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180" fontId="3" fillId="2" borderId="2" xfId="1" applyNumberFormat="1" applyFont="1" applyFill="1" applyBorder="1" applyAlignment="1">
      <alignment horizontal="center" vertical="center" wrapText="1"/>
    </xf>
    <xf numFmtId="178" fontId="3" fillId="2" borderId="2" xfId="1" applyNumberFormat="1" applyFont="1" applyFill="1" applyBorder="1" applyAlignment="1">
      <alignment horizontal="center" vertical="center" wrapText="1"/>
    </xf>
    <xf numFmtId="178" fontId="1" fillId="4" borderId="2" xfId="1" applyNumberFormat="1" applyFont="1" applyFill="1" applyBorder="1" applyAlignment="1">
      <alignment vertical="center" wrapText="1"/>
    </xf>
    <xf numFmtId="178" fontId="3" fillId="4" borderId="2" xfId="1" applyNumberFormat="1" applyFont="1" applyFill="1" applyBorder="1" applyAlignment="1">
      <alignment horizontal="center" vertical="center" wrapText="1"/>
    </xf>
    <xf numFmtId="180" fontId="3" fillId="2" borderId="5" xfId="1" applyNumberFormat="1" applyFont="1" applyFill="1" applyBorder="1" applyAlignment="1">
      <alignment horizontal="center" vertical="center" wrapText="1"/>
    </xf>
    <xf numFmtId="178" fontId="3" fillId="2" borderId="5" xfId="1" applyNumberFormat="1" applyFont="1" applyFill="1" applyBorder="1" applyAlignment="1">
      <alignment horizontal="center" vertical="center" wrapText="1"/>
    </xf>
    <xf numFmtId="180" fontId="1" fillId="2" borderId="5" xfId="1" applyNumberFormat="1" applyFont="1" applyFill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3" fillId="2" borderId="3" xfId="1" applyNumberFormat="1" applyFont="1" applyFill="1" applyBorder="1" applyAlignment="1">
      <alignment horizontal="center" vertical="center" wrapText="1"/>
    </xf>
    <xf numFmtId="176" fontId="8" fillId="0" borderId="9" xfId="2" applyNumberForma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176" fontId="8" fillId="0" borderId="11" xfId="2" applyNumberFormat="1" applyBorder="1" applyAlignment="1">
      <alignment horizontal="center" vertical="center"/>
    </xf>
    <xf numFmtId="178" fontId="3" fillId="2" borderId="2" xfId="1" applyNumberFormat="1" applyFont="1" applyFill="1" applyBorder="1" applyAlignment="1">
      <alignment horizontal="center" vertical="center" wrapText="1"/>
    </xf>
    <xf numFmtId="178" fontId="1" fillId="2" borderId="2" xfId="1" applyNumberFormat="1" applyFont="1" applyFill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4" borderId="2" xfId="1" applyNumberFormat="1" applyFont="1" applyFill="1" applyBorder="1" applyAlignment="1">
      <alignment horizontal="center" vertical="center" wrapText="1"/>
    </xf>
    <xf numFmtId="176" fontId="3" fillId="2" borderId="2" xfId="1" applyFont="1" applyFill="1" applyBorder="1" applyAlignment="1">
      <alignment horizontal="center" vertical="center" wrapText="1"/>
    </xf>
    <xf numFmtId="176" fontId="1" fillId="2" borderId="5" xfId="1" applyFont="1" applyFill="1" applyBorder="1" applyAlignment="1">
      <alignment horizontal="center" vertical="center" wrapText="1"/>
    </xf>
    <xf numFmtId="178" fontId="3" fillId="2" borderId="5" xfId="1" applyNumberFormat="1" applyFont="1" applyFill="1" applyBorder="1" applyAlignment="1">
      <alignment horizontal="center" vertical="center" wrapText="1"/>
    </xf>
    <xf numFmtId="178" fontId="1" fillId="2" borderId="5" xfId="1" applyNumberFormat="1" applyFont="1" applyFill="1" applyBorder="1" applyAlignment="1">
      <alignment horizontal="center" vertical="center" wrapText="1"/>
    </xf>
    <xf numFmtId="178" fontId="3" fillId="4" borderId="5" xfId="1" applyNumberFormat="1" applyFont="1" applyFill="1" applyBorder="1" applyAlignment="1">
      <alignment horizontal="center" vertical="center" wrapText="1"/>
    </xf>
    <xf numFmtId="178" fontId="1" fillId="4" borderId="5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1" fillId="2" borderId="5" xfId="1" applyNumberFormat="1" applyFont="1" applyFill="1" applyBorder="1" applyAlignment="1">
      <alignment horizontal="center" vertical="center" wrapText="1"/>
    </xf>
    <xf numFmtId="176" fontId="3" fillId="2" borderId="5" xfId="1" applyFont="1" applyFill="1" applyBorder="1" applyAlignment="1">
      <alignment horizontal="center" vertical="center" wrapText="1"/>
    </xf>
    <xf numFmtId="176" fontId="3" fillId="2" borderId="2" xfId="1" applyFont="1" applyFill="1" applyBorder="1" applyAlignment="1">
      <alignment horizontal="left" vertical="center" wrapText="1"/>
    </xf>
    <xf numFmtId="176" fontId="3" fillId="2" borderId="5" xfId="1" applyFont="1" applyFill="1" applyBorder="1" applyAlignment="1">
      <alignment horizontal="left" vertical="center" wrapText="1"/>
    </xf>
    <xf numFmtId="179" fontId="3" fillId="2" borderId="2" xfId="1" applyNumberFormat="1" applyFont="1" applyFill="1" applyBorder="1" applyAlignment="1">
      <alignment horizontal="center" vertical="center" wrapText="1"/>
    </xf>
    <xf numFmtId="179" fontId="1" fillId="2" borderId="5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5" xfId="1" applyNumberFormat="1" applyFont="1" applyFill="1" applyBorder="1" applyAlignment="1">
      <alignment horizontal="center" vertical="center" wrapText="1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5" xfId="1" applyNumberFormat="1" applyFont="1" applyFill="1" applyBorder="1" applyAlignment="1">
      <alignment horizontal="center" vertical="center" wrapText="1"/>
    </xf>
    <xf numFmtId="176" fontId="1" fillId="2" borderId="5" xfId="1" applyFont="1" applyFill="1" applyBorder="1" applyAlignment="1">
      <alignment horizontal="left" vertical="center" wrapText="1"/>
    </xf>
    <xf numFmtId="176" fontId="1" fillId="2" borderId="2" xfId="1" applyFont="1" applyFill="1" applyBorder="1" applyAlignment="1">
      <alignment horizontal="center" vertical="center" wrapText="1"/>
    </xf>
    <xf numFmtId="178" fontId="3" fillId="4" borderId="2" xfId="1" applyNumberFormat="1" applyFont="1" applyFill="1" applyBorder="1" applyAlignment="1">
      <alignment horizontal="center" vertical="center" wrapText="1"/>
    </xf>
    <xf numFmtId="178" fontId="3" fillId="4" borderId="3" xfId="1" applyNumberFormat="1" applyFont="1" applyFill="1" applyBorder="1" applyAlignment="1">
      <alignment horizontal="center" vertical="center" wrapText="1"/>
    </xf>
    <xf numFmtId="178" fontId="1" fillId="4" borderId="6" xfId="1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 5" xfId="1" xr:uid="{00000000-0005-0000-0000-000031000000}"/>
    <cellStyle name="超链接" xfId="2" builtinId="8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hencao052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S790"/>
  <sheetViews>
    <sheetView tabSelected="1" topLeftCell="X1" workbookViewId="0">
      <selection activeCell="AS4" sqref="AS4"/>
    </sheetView>
  </sheetViews>
  <sheetFormatPr baseColWidth="10" defaultColWidth="8.1640625" defaultRowHeight="13"/>
  <cols>
    <col min="1" max="1" width="11" style="3" customWidth="1"/>
    <col min="2" max="2" width="4.5" style="4" customWidth="1"/>
    <col min="3" max="3" width="3.83203125" style="5" customWidth="1"/>
    <col min="4" max="4" width="8.1640625" style="3" customWidth="1"/>
    <col min="5" max="5" width="5.1640625" style="3" customWidth="1"/>
    <col min="6" max="6" width="5.5" style="4" customWidth="1"/>
    <col min="7" max="7" width="5.33203125" style="4" customWidth="1"/>
    <col min="8" max="8" width="7.5" style="3" customWidth="1"/>
    <col min="9" max="9" width="8.1640625" style="3"/>
    <col min="10" max="10" width="10.83203125" style="7" customWidth="1"/>
    <col min="11" max="11" width="7.5" style="7" customWidth="1"/>
    <col min="12" max="12" width="7.83203125" style="7" customWidth="1"/>
    <col min="13" max="13" width="5" style="3" customWidth="1"/>
    <col min="14" max="14" width="7.5" style="3" customWidth="1"/>
    <col min="15" max="16" width="7.1640625" style="8" customWidth="1"/>
    <col min="17" max="21" width="7.83203125" style="8" customWidth="1"/>
    <col min="22" max="22" width="6.33203125" style="8" customWidth="1"/>
    <col min="23" max="23" width="7.83203125" style="8" customWidth="1"/>
    <col min="24" max="24" width="6.6640625" style="8" customWidth="1"/>
    <col min="25" max="25" width="5.6640625" style="8" customWidth="1"/>
    <col min="26" max="26" width="7.83203125" style="8" customWidth="1"/>
    <col min="27" max="27" width="6.33203125" style="3" customWidth="1"/>
    <col min="28" max="28" width="6.1640625" style="3" customWidth="1"/>
    <col min="29" max="29" width="8.6640625" style="8" customWidth="1"/>
    <col min="30" max="30" width="8.33203125" style="8" customWidth="1"/>
    <col min="31" max="31" width="9.1640625" style="8" customWidth="1"/>
    <col min="32" max="32" width="8.5" style="8" customWidth="1"/>
    <col min="33" max="34" width="7.83203125" style="8" customWidth="1"/>
    <col min="35" max="35" width="9.5" style="8" customWidth="1"/>
    <col min="36" max="36" width="9.6640625" style="8" customWidth="1"/>
    <col min="37" max="37" width="7.5" style="8" customWidth="1"/>
    <col min="38" max="38" width="6.6640625" style="8" customWidth="1"/>
    <col min="39" max="39" width="7.6640625" style="8" customWidth="1"/>
    <col min="40" max="40" width="6.6640625" style="8" customWidth="1"/>
    <col min="41" max="41" width="7" style="8" customWidth="1"/>
    <col min="42" max="42" width="5.5" style="8" customWidth="1"/>
    <col min="43" max="43" width="9.33203125" style="8" customWidth="1"/>
    <col min="44" max="44" width="8.83203125" style="8" customWidth="1"/>
    <col min="45" max="45" width="43.1640625" style="3" customWidth="1"/>
    <col min="46" max="16384" width="8.1640625" style="3"/>
  </cols>
  <sheetData>
    <row r="2" spans="1:45" s="1" customFormat="1" ht="24" customHeight="1">
      <c r="A2" s="9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4" t="s">
        <v>6</v>
      </c>
      <c r="H2" s="11" t="s">
        <v>7</v>
      </c>
      <c r="I2" s="12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4" t="s">
        <v>23</v>
      </c>
      <c r="Y2" s="11" t="s">
        <v>24</v>
      </c>
      <c r="Z2" s="11" t="s">
        <v>25</v>
      </c>
      <c r="AA2" s="11" t="s">
        <v>26</v>
      </c>
      <c r="AB2" s="15" t="s">
        <v>27</v>
      </c>
      <c r="AC2" s="15" t="s">
        <v>28</v>
      </c>
      <c r="AD2" s="15" t="s">
        <v>29</v>
      </c>
      <c r="AE2" s="15" t="s">
        <v>30</v>
      </c>
      <c r="AF2" s="15" t="s">
        <v>31</v>
      </c>
      <c r="AG2" s="15" t="s">
        <v>32</v>
      </c>
      <c r="AH2" s="15" t="s">
        <v>33</v>
      </c>
      <c r="AI2" s="17" t="s">
        <v>34</v>
      </c>
      <c r="AJ2" s="17" t="s">
        <v>35</v>
      </c>
      <c r="AK2" s="17" t="s">
        <v>36</v>
      </c>
      <c r="AL2" s="15" t="s">
        <v>37</v>
      </c>
      <c r="AM2" s="17" t="s">
        <v>38</v>
      </c>
      <c r="AN2" s="17" t="s">
        <v>39</v>
      </c>
      <c r="AO2" s="15" t="s">
        <v>40</v>
      </c>
      <c r="AP2" s="15" t="s">
        <v>41</v>
      </c>
      <c r="AQ2" s="15" t="s">
        <v>42</v>
      </c>
      <c r="AR2" s="17" t="s">
        <v>43</v>
      </c>
      <c r="AS2" s="27" t="s">
        <v>44</v>
      </c>
    </row>
    <row r="3" spans="1:45" s="2" customFormat="1" ht="42" customHeight="1" thickBot="1">
      <c r="A3" s="21" t="s">
        <v>45</v>
      </c>
      <c r="B3" s="22" t="s">
        <v>46</v>
      </c>
      <c r="C3" s="22">
        <v>2</v>
      </c>
      <c r="D3" s="23" t="s">
        <v>47</v>
      </c>
      <c r="E3" s="23" t="s">
        <v>48</v>
      </c>
      <c r="F3" s="22">
        <v>20</v>
      </c>
      <c r="G3" s="22">
        <v>18</v>
      </c>
      <c r="H3" s="23" t="s">
        <v>49</v>
      </c>
      <c r="I3" s="23" t="s">
        <v>50</v>
      </c>
      <c r="J3" s="25">
        <v>3000</v>
      </c>
      <c r="K3" s="25">
        <v>500</v>
      </c>
      <c r="L3" s="25">
        <v>1500</v>
      </c>
      <c r="M3" s="23"/>
      <c r="N3" s="23"/>
      <c r="O3" s="25"/>
      <c r="P3" s="25">
        <v>200</v>
      </c>
      <c r="Q3" s="25"/>
      <c r="R3" s="25"/>
      <c r="S3" s="25"/>
      <c r="T3" s="25"/>
      <c r="U3" s="25"/>
      <c r="V3" s="25"/>
      <c r="W3" s="25"/>
      <c r="X3" s="25">
        <v>2</v>
      </c>
      <c r="Y3" s="25"/>
      <c r="Z3" s="25">
        <v>500</v>
      </c>
      <c r="AA3" s="23"/>
      <c r="AB3" s="23"/>
      <c r="AC3" s="25"/>
      <c r="AD3" s="25">
        <v>4700</v>
      </c>
      <c r="AE3" s="25">
        <v>440.8</v>
      </c>
      <c r="AF3" s="25">
        <v>124.68</v>
      </c>
      <c r="AG3" s="25">
        <v>6</v>
      </c>
      <c r="AH3" s="25">
        <v>360</v>
      </c>
      <c r="AI3" s="25">
        <v>931.48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/>
      <c r="AP3" s="25"/>
      <c r="AQ3" s="25">
        <v>3768.52</v>
      </c>
      <c r="AR3" s="25">
        <v>0</v>
      </c>
      <c r="AS3" s="28" t="s">
        <v>88</v>
      </c>
    </row>
    <row r="4" spans="1:45" s="2" customFormat="1" ht="42" customHeight="1" thickBot="1">
      <c r="A4" s="21" t="s">
        <v>45</v>
      </c>
      <c r="B4" s="22" t="s">
        <v>46</v>
      </c>
      <c r="C4" s="22">
        <v>2</v>
      </c>
      <c r="D4" s="23" t="s">
        <v>47</v>
      </c>
      <c r="E4" s="23" t="s">
        <v>84</v>
      </c>
      <c r="F4" s="22">
        <v>20</v>
      </c>
      <c r="G4" s="22">
        <v>18</v>
      </c>
      <c r="H4" s="23" t="s">
        <v>49</v>
      </c>
      <c r="I4" s="23" t="s">
        <v>50</v>
      </c>
      <c r="J4" s="25">
        <v>3000</v>
      </c>
      <c r="K4" s="25">
        <v>500</v>
      </c>
      <c r="L4" s="25">
        <v>1500</v>
      </c>
      <c r="M4" s="23"/>
      <c r="N4" s="23"/>
      <c r="O4" s="25"/>
      <c r="P4" s="25">
        <v>200</v>
      </c>
      <c r="Q4" s="25"/>
      <c r="R4" s="25"/>
      <c r="S4" s="25"/>
      <c r="T4" s="25"/>
      <c r="U4" s="25"/>
      <c r="V4" s="25"/>
      <c r="W4" s="25"/>
      <c r="X4" s="25">
        <v>2</v>
      </c>
      <c r="Y4" s="25"/>
      <c r="Z4" s="25">
        <v>500</v>
      </c>
      <c r="AA4" s="23"/>
      <c r="AB4" s="23"/>
      <c r="AC4" s="25"/>
      <c r="AD4" s="25">
        <v>4700</v>
      </c>
      <c r="AE4" s="25">
        <v>440.8</v>
      </c>
      <c r="AF4" s="25">
        <v>124.68</v>
      </c>
      <c r="AG4" s="25">
        <v>6</v>
      </c>
      <c r="AH4" s="25">
        <v>360</v>
      </c>
      <c r="AI4" s="25">
        <v>931.48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/>
      <c r="AP4" s="25"/>
      <c r="AQ4" s="25">
        <v>3768.52</v>
      </c>
      <c r="AR4" s="25">
        <v>0</v>
      </c>
      <c r="AS4" s="28"/>
    </row>
    <row r="5" spans="1:45" ht="16" thickBot="1">
      <c r="A5" s="29" t="s">
        <v>45</v>
      </c>
      <c r="B5" s="30" t="s">
        <v>46</v>
      </c>
      <c r="C5" s="30" t="s">
        <v>81</v>
      </c>
      <c r="D5" s="31" t="s">
        <v>47</v>
      </c>
      <c r="E5" s="31" t="s">
        <v>85</v>
      </c>
      <c r="F5" s="30" t="s">
        <v>82</v>
      </c>
      <c r="G5" s="30" t="s">
        <v>83</v>
      </c>
      <c r="H5" s="31" t="s">
        <v>49</v>
      </c>
      <c r="I5" s="31" t="s">
        <v>50</v>
      </c>
      <c r="J5" s="32">
        <v>3000</v>
      </c>
      <c r="K5" s="32">
        <v>500</v>
      </c>
      <c r="L5" s="32">
        <v>1500</v>
      </c>
      <c r="M5" s="31"/>
      <c r="N5" s="31"/>
      <c r="O5" s="32"/>
      <c r="P5" s="32">
        <v>200</v>
      </c>
      <c r="Q5" s="32"/>
      <c r="R5" s="32"/>
      <c r="S5" s="32"/>
      <c r="T5" s="32"/>
      <c r="U5" s="32"/>
      <c r="V5" s="32"/>
      <c r="W5" s="32"/>
      <c r="X5" s="32">
        <v>2</v>
      </c>
      <c r="Y5" s="32"/>
      <c r="Z5" s="32">
        <v>500</v>
      </c>
      <c r="AA5" s="31"/>
      <c r="AB5" s="31"/>
      <c r="AC5" s="32"/>
      <c r="AD5" s="32">
        <v>4700</v>
      </c>
      <c r="AE5" s="32">
        <v>440.8</v>
      </c>
      <c r="AF5" s="32">
        <v>124.68</v>
      </c>
      <c r="AG5" s="32">
        <v>6</v>
      </c>
      <c r="AH5" s="32">
        <v>360</v>
      </c>
      <c r="AI5" s="32">
        <v>931.48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/>
      <c r="AP5" s="32"/>
      <c r="AQ5" s="32">
        <v>3768.52</v>
      </c>
      <c r="AR5" s="32">
        <v>0</v>
      </c>
      <c r="AS5" s="33"/>
    </row>
    <row r="6" spans="1:45" ht="16" thickBot="1">
      <c r="A6" s="29" t="s">
        <v>45</v>
      </c>
      <c r="B6" s="30" t="s">
        <v>46</v>
      </c>
      <c r="C6" s="30" t="s">
        <v>81</v>
      </c>
      <c r="D6" s="31" t="s">
        <v>47</v>
      </c>
      <c r="E6" s="31" t="s">
        <v>86</v>
      </c>
      <c r="F6" s="30" t="s">
        <v>82</v>
      </c>
      <c r="G6" s="30" t="s">
        <v>83</v>
      </c>
      <c r="H6" s="31" t="s">
        <v>49</v>
      </c>
      <c r="I6" s="31" t="s">
        <v>50</v>
      </c>
      <c r="J6" s="32">
        <v>3000</v>
      </c>
      <c r="K6" s="32">
        <v>500</v>
      </c>
      <c r="L6" s="32">
        <v>1500</v>
      </c>
      <c r="M6" s="31"/>
      <c r="N6" s="31"/>
      <c r="O6" s="32"/>
      <c r="P6" s="32">
        <v>200</v>
      </c>
      <c r="Q6" s="32"/>
      <c r="R6" s="32"/>
      <c r="S6" s="32"/>
      <c r="T6" s="32"/>
      <c r="U6" s="32"/>
      <c r="V6" s="32"/>
      <c r="W6" s="32"/>
      <c r="X6" s="32">
        <v>2</v>
      </c>
      <c r="Y6" s="32"/>
      <c r="Z6" s="32">
        <v>500</v>
      </c>
      <c r="AA6" s="31"/>
      <c r="AB6" s="31"/>
      <c r="AC6" s="32"/>
      <c r="AD6" s="32">
        <v>4700</v>
      </c>
      <c r="AE6" s="32">
        <v>440.8</v>
      </c>
      <c r="AF6" s="32">
        <v>124.68</v>
      </c>
      <c r="AG6" s="32">
        <v>6</v>
      </c>
      <c r="AH6" s="32">
        <v>360</v>
      </c>
      <c r="AI6" s="32">
        <v>931.48</v>
      </c>
      <c r="AJ6" s="32">
        <v>0</v>
      </c>
      <c r="AK6" s="32">
        <v>0</v>
      </c>
      <c r="AL6" s="32">
        <v>0</v>
      </c>
      <c r="AM6" s="32">
        <v>0</v>
      </c>
      <c r="AN6" s="32">
        <v>0</v>
      </c>
      <c r="AO6" s="32"/>
      <c r="AP6" s="32"/>
      <c r="AQ6" s="32">
        <v>3768.52</v>
      </c>
      <c r="AR6" s="32">
        <v>0</v>
      </c>
      <c r="AS6" s="33"/>
    </row>
    <row r="7" spans="1:45" ht="16" thickBot="1">
      <c r="A7" s="29" t="s">
        <v>45</v>
      </c>
      <c r="B7" s="30" t="s">
        <v>46</v>
      </c>
      <c r="C7" s="30" t="s">
        <v>81</v>
      </c>
      <c r="D7" s="31" t="s">
        <v>47</v>
      </c>
      <c r="E7" s="31" t="s">
        <v>87</v>
      </c>
      <c r="F7" s="30" t="s">
        <v>82</v>
      </c>
      <c r="G7" s="30" t="s">
        <v>83</v>
      </c>
      <c r="H7" s="31" t="s">
        <v>49</v>
      </c>
      <c r="I7" s="31" t="s">
        <v>50</v>
      </c>
      <c r="J7" s="32">
        <v>3000</v>
      </c>
      <c r="K7" s="32">
        <v>500</v>
      </c>
      <c r="L7" s="32">
        <v>1500</v>
      </c>
      <c r="M7" s="31"/>
      <c r="N7" s="31"/>
      <c r="O7" s="32"/>
      <c r="P7" s="32">
        <v>200</v>
      </c>
      <c r="Q7" s="32"/>
      <c r="R7" s="32"/>
      <c r="S7" s="32"/>
      <c r="T7" s="32"/>
      <c r="U7" s="32"/>
      <c r="V7" s="32"/>
      <c r="W7" s="32"/>
      <c r="X7" s="32">
        <v>2</v>
      </c>
      <c r="Y7" s="32"/>
      <c r="Z7" s="32">
        <v>500</v>
      </c>
      <c r="AA7" s="31"/>
      <c r="AB7" s="31"/>
      <c r="AC7" s="32"/>
      <c r="AD7" s="32">
        <v>4700</v>
      </c>
      <c r="AE7" s="32">
        <v>440.8</v>
      </c>
      <c r="AF7" s="32">
        <v>124.68</v>
      </c>
      <c r="AG7" s="32">
        <v>6</v>
      </c>
      <c r="AH7" s="32">
        <v>360</v>
      </c>
      <c r="AI7" s="32">
        <v>931.48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/>
      <c r="AP7" s="32"/>
      <c r="AQ7" s="32">
        <v>3768.52</v>
      </c>
      <c r="AR7" s="32">
        <v>0</v>
      </c>
      <c r="AS7" s="33">
        <v>333</v>
      </c>
    </row>
    <row r="780" spans="2:4">
      <c r="B780" s="4">
        <v>12000</v>
      </c>
      <c r="C780" s="5">
        <v>18000</v>
      </c>
      <c r="D780" s="3">
        <v>11</v>
      </c>
    </row>
    <row r="781" spans="2:4">
      <c r="C781" s="5">
        <v>23</v>
      </c>
      <c r="D781" s="3">
        <v>0.47826086956521702</v>
      </c>
    </row>
    <row r="782" spans="2:4">
      <c r="C782" s="5" t="s">
        <v>51</v>
      </c>
      <c r="D782" s="3">
        <v>5739.1304347826099</v>
      </c>
    </row>
    <row r="783" spans="2:4">
      <c r="C783" s="5" t="s">
        <v>52</v>
      </c>
    </row>
    <row r="784" spans="2:4">
      <c r="C784" s="5" t="s">
        <v>53</v>
      </c>
      <c r="D784" s="3">
        <v>4434.7826086956502</v>
      </c>
    </row>
    <row r="788" spans="2:5">
      <c r="B788" s="4">
        <v>23</v>
      </c>
      <c r="C788" s="5">
        <v>12000</v>
      </c>
      <c r="D788" s="3">
        <v>2</v>
      </c>
      <c r="E788" s="3">
        <v>0.625</v>
      </c>
    </row>
    <row r="790" spans="2:5">
      <c r="C790" s="5" t="s">
        <v>54</v>
      </c>
      <c r="E790" s="3">
        <v>326.08695652173901</v>
      </c>
    </row>
  </sheetData>
  <phoneticPr fontId="7" type="noConversion"/>
  <conditionalFormatting sqref="E2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</conditionalFormatting>
  <hyperlinks>
    <hyperlink ref="AS3" r:id="rId1" xr:uid="{16DC32D0-C15F-1A46-9C76-66F8C85AFF40}"/>
  </hyperlink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W791"/>
  <sheetViews>
    <sheetView workbookViewId="0">
      <selection activeCell="B12" sqref="B12"/>
    </sheetView>
  </sheetViews>
  <sheetFormatPr baseColWidth="10" defaultColWidth="8.1640625" defaultRowHeight="13"/>
  <cols>
    <col min="1" max="1" width="11" style="3" customWidth="1"/>
    <col min="2" max="2" width="4.5" style="4" customWidth="1"/>
    <col min="3" max="3" width="3.83203125" style="5" customWidth="1"/>
    <col min="4" max="4" width="8.1640625" style="3" customWidth="1"/>
    <col min="5" max="5" width="7.1640625" style="3" customWidth="1"/>
    <col min="6" max="6" width="5.1640625" style="3" customWidth="1"/>
    <col min="7" max="7" width="8.6640625" style="6" customWidth="1"/>
    <col min="8" max="8" width="5.5" style="4" customWidth="1"/>
    <col min="9" max="9" width="5.33203125" style="4" customWidth="1"/>
    <col min="10" max="10" width="6.33203125" style="3" customWidth="1"/>
    <col min="11" max="11" width="7.5" style="3" customWidth="1"/>
    <col min="12" max="12" width="8.1640625" style="3"/>
    <col min="13" max="13" width="5.6640625" style="3" customWidth="1"/>
    <col min="14" max="14" width="6.6640625" style="7" customWidth="1"/>
    <col min="15" max="15" width="7.5" style="7" customWidth="1"/>
    <col min="16" max="16" width="7.83203125" style="7" customWidth="1"/>
    <col min="17" max="17" width="5" style="3" customWidth="1"/>
    <col min="18" max="18" width="7.5" style="3" customWidth="1"/>
    <col min="19" max="20" width="7.1640625" style="8" customWidth="1"/>
    <col min="21" max="25" width="7.83203125" style="8" customWidth="1"/>
    <col min="26" max="26" width="6.33203125" style="8" customWidth="1"/>
    <col min="27" max="27" width="7.83203125" style="8" customWidth="1"/>
    <col min="28" max="28" width="6.6640625" style="8" customWidth="1"/>
    <col min="29" max="29" width="5.6640625" style="8" customWidth="1"/>
    <col min="30" max="30" width="7.83203125" style="8" customWidth="1"/>
    <col min="31" max="31" width="6.33203125" style="3" customWidth="1"/>
    <col min="32" max="32" width="6.1640625" style="3" customWidth="1"/>
    <col min="33" max="33" width="8.6640625" style="8" customWidth="1"/>
    <col min="34" max="34" width="9.6640625" style="8" customWidth="1"/>
    <col min="35" max="36" width="8.1640625" style="3"/>
    <col min="37" max="37" width="9.83203125" style="8" customWidth="1"/>
    <col min="38" max="42" width="7.83203125" style="8" customWidth="1"/>
    <col min="43" max="43" width="8.5" style="8" customWidth="1"/>
    <col min="44" max="44" width="8" style="8" customWidth="1"/>
    <col min="45" max="45" width="6.5" style="8" customWidth="1"/>
    <col min="46" max="46" width="7.83203125" style="8" customWidth="1"/>
    <col min="47" max="47" width="6.6640625" style="8" customWidth="1"/>
    <col min="48" max="48" width="6.83203125" style="8" customWidth="1"/>
    <col min="49" max="49" width="7" style="8" customWidth="1"/>
    <col min="50" max="50" width="7.6640625" style="8" customWidth="1"/>
    <col min="51" max="51" width="8.5" style="8" customWidth="1"/>
    <col min="52" max="52" width="7.6640625" style="8" customWidth="1"/>
    <col min="53" max="53" width="6" style="8" customWidth="1"/>
    <col min="54" max="54" width="6.33203125" style="8" customWidth="1"/>
    <col min="55" max="55" width="5.83203125" style="8" customWidth="1"/>
    <col min="56" max="56" width="6.5" style="8" customWidth="1"/>
    <col min="57" max="57" width="5.83203125" style="8" customWidth="1"/>
    <col min="58" max="59" width="6.6640625" style="8" customWidth="1"/>
    <col min="60" max="60" width="6.5" style="8" customWidth="1"/>
    <col min="61" max="61" width="8.5" style="8" customWidth="1"/>
    <col min="62" max="63" width="7.83203125" style="8" customWidth="1"/>
    <col min="64" max="64" width="9.5" style="8" customWidth="1"/>
    <col min="65" max="65" width="9.6640625" style="8" customWidth="1"/>
    <col min="66" max="66" width="7.5" style="8" customWidth="1"/>
    <col min="67" max="67" width="6.6640625" style="8" customWidth="1"/>
    <col min="68" max="68" width="7.6640625" style="8" customWidth="1"/>
    <col min="69" max="69" width="6.6640625" style="8" customWidth="1"/>
    <col min="70" max="70" width="7.33203125" style="8" customWidth="1"/>
    <col min="71" max="71" width="7" style="8" customWidth="1"/>
    <col min="72" max="72" width="4.83203125" style="8" customWidth="1"/>
    <col min="73" max="73" width="5.5" style="8" customWidth="1"/>
    <col min="74" max="74" width="9.33203125" style="8" customWidth="1"/>
    <col min="75" max="75" width="8.83203125" style="8" customWidth="1"/>
    <col min="76" max="16384" width="8.1640625" style="3"/>
  </cols>
  <sheetData>
    <row r="2" spans="1:75" s="1" customFormat="1" ht="16.5" customHeight="1">
      <c r="A2" s="44" t="s">
        <v>0</v>
      </c>
      <c r="B2" s="46" t="s">
        <v>1</v>
      </c>
      <c r="C2" s="46" t="s">
        <v>2</v>
      </c>
      <c r="D2" s="38" t="s">
        <v>3</v>
      </c>
      <c r="E2" s="38" t="s">
        <v>55</v>
      </c>
      <c r="F2" s="49" t="s">
        <v>4</v>
      </c>
      <c r="G2" s="51" t="s">
        <v>56</v>
      </c>
      <c r="H2" s="53" t="s">
        <v>5</v>
      </c>
      <c r="I2" s="55" t="s">
        <v>6</v>
      </c>
      <c r="J2" s="38" t="s">
        <v>57</v>
      </c>
      <c r="K2" s="38" t="s">
        <v>7</v>
      </c>
      <c r="L2" s="49" t="s">
        <v>8</v>
      </c>
      <c r="M2" s="38" t="s">
        <v>58</v>
      </c>
      <c r="N2" s="38" t="s">
        <v>9</v>
      </c>
      <c r="O2" s="38" t="s">
        <v>10</v>
      </c>
      <c r="P2" s="38" t="s">
        <v>11</v>
      </c>
      <c r="Q2" s="38" t="s">
        <v>12</v>
      </c>
      <c r="R2" s="38" t="s">
        <v>13</v>
      </c>
      <c r="S2" s="38" t="s">
        <v>14</v>
      </c>
      <c r="T2" s="38" t="s">
        <v>15</v>
      </c>
      <c r="U2" s="38" t="s">
        <v>16</v>
      </c>
      <c r="V2" s="38" t="s">
        <v>17</v>
      </c>
      <c r="W2" s="38" t="s">
        <v>18</v>
      </c>
      <c r="X2" s="38" t="s">
        <v>19</v>
      </c>
      <c r="Y2" s="38" t="s">
        <v>20</v>
      </c>
      <c r="Z2" s="38" t="s">
        <v>21</v>
      </c>
      <c r="AA2" s="38" t="s">
        <v>22</v>
      </c>
      <c r="AB2" s="14" t="s">
        <v>59</v>
      </c>
      <c r="AC2" s="38" t="s">
        <v>60</v>
      </c>
      <c r="AD2" s="58"/>
      <c r="AE2" s="58"/>
      <c r="AF2" s="35"/>
      <c r="AG2" s="34" t="s">
        <v>28</v>
      </c>
      <c r="AH2" s="34" t="s">
        <v>29</v>
      </c>
      <c r="AI2" s="38" t="s">
        <v>61</v>
      </c>
      <c r="AJ2" s="38" t="s">
        <v>62</v>
      </c>
      <c r="AK2" s="34" t="s">
        <v>63</v>
      </c>
      <c r="AL2" s="35"/>
      <c r="AM2" s="35"/>
      <c r="AN2" s="35"/>
      <c r="AO2" s="35"/>
      <c r="AP2" s="35"/>
      <c r="AQ2" s="35"/>
      <c r="AR2" s="34" t="s">
        <v>64</v>
      </c>
      <c r="AS2" s="35"/>
      <c r="AT2" s="35"/>
      <c r="AU2" s="35"/>
      <c r="AV2" s="35"/>
      <c r="AW2" s="35"/>
      <c r="AX2" s="36"/>
      <c r="AY2" s="35"/>
      <c r="AZ2" s="35"/>
      <c r="BA2" s="34" t="s">
        <v>65</v>
      </c>
      <c r="BB2" s="35"/>
      <c r="BC2" s="35"/>
      <c r="BD2" s="35"/>
      <c r="BE2" s="35"/>
      <c r="BF2" s="35"/>
      <c r="BG2" s="37"/>
      <c r="BH2" s="34" t="s">
        <v>66</v>
      </c>
      <c r="BI2" s="35"/>
      <c r="BJ2" s="35"/>
      <c r="BK2" s="35"/>
      <c r="BL2" s="16"/>
      <c r="BM2" s="59" t="s">
        <v>35</v>
      </c>
      <c r="BN2" s="59" t="s">
        <v>36</v>
      </c>
      <c r="BO2" s="34" t="s">
        <v>37</v>
      </c>
      <c r="BP2" s="59" t="s">
        <v>38</v>
      </c>
      <c r="BQ2" s="59" t="s">
        <v>39</v>
      </c>
      <c r="BR2" s="34" t="s">
        <v>67</v>
      </c>
      <c r="BS2" s="34" t="s">
        <v>40</v>
      </c>
      <c r="BT2" s="34" t="s">
        <v>68</v>
      </c>
      <c r="BU2" s="34" t="s">
        <v>41</v>
      </c>
      <c r="BV2" s="34" t="s">
        <v>42</v>
      </c>
      <c r="BW2" s="60" t="s">
        <v>43</v>
      </c>
    </row>
    <row r="3" spans="1:75" s="1" customFormat="1" ht="16.5" customHeight="1">
      <c r="A3" s="45"/>
      <c r="B3" s="47"/>
      <c r="C3" s="47"/>
      <c r="D3" s="39"/>
      <c r="E3" s="48"/>
      <c r="F3" s="50"/>
      <c r="G3" s="52"/>
      <c r="H3" s="54"/>
      <c r="I3" s="56"/>
      <c r="J3" s="39"/>
      <c r="K3" s="39"/>
      <c r="L3" s="57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18" t="s">
        <v>23</v>
      </c>
      <c r="AC3" s="48" t="s">
        <v>24</v>
      </c>
      <c r="AD3" s="48" t="s">
        <v>25</v>
      </c>
      <c r="AE3" s="48" t="s">
        <v>26</v>
      </c>
      <c r="AF3" s="40" t="s">
        <v>27</v>
      </c>
      <c r="AG3" s="41"/>
      <c r="AH3" s="40"/>
      <c r="AI3" s="39"/>
      <c r="AJ3" s="39"/>
      <c r="AK3" s="40" t="s">
        <v>69</v>
      </c>
      <c r="AL3" s="19" t="s">
        <v>30</v>
      </c>
      <c r="AM3" s="19" t="s">
        <v>31</v>
      </c>
      <c r="AN3" s="19" t="s">
        <v>32</v>
      </c>
      <c r="AO3" s="19" t="s">
        <v>70</v>
      </c>
      <c r="AP3" s="19" t="s">
        <v>71</v>
      </c>
      <c r="AQ3" s="19" t="s">
        <v>33</v>
      </c>
      <c r="AR3" s="40" t="s">
        <v>30</v>
      </c>
      <c r="AS3" s="41"/>
      <c r="AT3" s="40" t="s">
        <v>31</v>
      </c>
      <c r="AU3" s="41"/>
      <c r="AV3" s="40" t="s">
        <v>32</v>
      </c>
      <c r="AW3" s="41"/>
      <c r="AX3" s="19" t="s">
        <v>70</v>
      </c>
      <c r="AY3" s="19" t="s">
        <v>71</v>
      </c>
      <c r="AZ3" s="19" t="s">
        <v>33</v>
      </c>
      <c r="BA3" s="40" t="s">
        <v>30</v>
      </c>
      <c r="BB3" s="40" t="s">
        <v>31</v>
      </c>
      <c r="BC3" s="40" t="s">
        <v>32</v>
      </c>
      <c r="BD3" s="40" t="s">
        <v>70</v>
      </c>
      <c r="BE3" s="40" t="s">
        <v>71</v>
      </c>
      <c r="BF3" s="40" t="s">
        <v>33</v>
      </c>
      <c r="BG3" s="42" t="s">
        <v>72</v>
      </c>
      <c r="BH3" s="40" t="s">
        <v>30</v>
      </c>
      <c r="BI3" s="40" t="s">
        <v>31</v>
      </c>
      <c r="BJ3" s="40" t="s">
        <v>32</v>
      </c>
      <c r="BK3" s="40" t="s">
        <v>33</v>
      </c>
      <c r="BL3" s="42" t="s">
        <v>34</v>
      </c>
      <c r="BM3" s="43"/>
      <c r="BN3" s="43"/>
      <c r="BO3" s="41"/>
      <c r="BP3" s="43"/>
      <c r="BQ3" s="43"/>
      <c r="BR3" s="41"/>
      <c r="BS3" s="41"/>
      <c r="BT3" s="41"/>
      <c r="BU3" s="41"/>
      <c r="BV3" s="41"/>
      <c r="BW3" s="61"/>
    </row>
    <row r="4" spans="1:75" s="1" customFormat="1" ht="30" customHeight="1">
      <c r="A4" s="45"/>
      <c r="B4" s="47"/>
      <c r="C4" s="47"/>
      <c r="D4" s="39"/>
      <c r="E4" s="48"/>
      <c r="F4" s="50"/>
      <c r="G4" s="52"/>
      <c r="H4" s="54"/>
      <c r="I4" s="56"/>
      <c r="J4" s="39"/>
      <c r="K4" s="39"/>
      <c r="L4" s="57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20"/>
      <c r="AC4" s="39"/>
      <c r="AD4" s="39"/>
      <c r="AE4" s="39"/>
      <c r="AF4" s="41"/>
      <c r="AG4" s="41"/>
      <c r="AH4" s="40"/>
      <c r="AI4" s="39"/>
      <c r="AJ4" s="39"/>
      <c r="AK4" s="41"/>
      <c r="AL4" s="19" t="s">
        <v>30</v>
      </c>
      <c r="AM4" s="19" t="s">
        <v>31</v>
      </c>
      <c r="AN4" s="19" t="s">
        <v>32</v>
      </c>
      <c r="AO4" s="19" t="s">
        <v>70</v>
      </c>
      <c r="AP4" s="19" t="s">
        <v>71</v>
      </c>
      <c r="AQ4" s="19" t="s">
        <v>33</v>
      </c>
      <c r="AR4" s="19" t="s">
        <v>73</v>
      </c>
      <c r="AS4" s="19" t="s">
        <v>74</v>
      </c>
      <c r="AT4" s="19" t="s">
        <v>73</v>
      </c>
      <c r="AU4" s="19" t="s">
        <v>74</v>
      </c>
      <c r="AV4" s="19" t="s">
        <v>73</v>
      </c>
      <c r="AW4" s="19" t="s">
        <v>74</v>
      </c>
      <c r="AX4" s="19" t="s">
        <v>73</v>
      </c>
      <c r="AY4" s="19" t="s">
        <v>73</v>
      </c>
      <c r="AZ4" s="19" t="s">
        <v>75</v>
      </c>
      <c r="BA4" s="41"/>
      <c r="BB4" s="41"/>
      <c r="BC4" s="41"/>
      <c r="BD4" s="41"/>
      <c r="BE4" s="41"/>
      <c r="BF4" s="41"/>
      <c r="BG4" s="43"/>
      <c r="BH4" s="41"/>
      <c r="BI4" s="41"/>
      <c r="BJ4" s="41"/>
      <c r="BK4" s="41"/>
      <c r="BL4" s="43"/>
      <c r="BM4" s="43"/>
      <c r="BN4" s="43"/>
      <c r="BO4" s="41"/>
      <c r="BP4" s="43"/>
      <c r="BQ4" s="43"/>
      <c r="BR4" s="41"/>
      <c r="BS4" s="41"/>
      <c r="BT4" s="41"/>
      <c r="BU4" s="41"/>
      <c r="BV4" s="41"/>
      <c r="BW4" s="61"/>
    </row>
    <row r="5" spans="1:75" s="2" customFormat="1" ht="42" customHeight="1">
      <c r="A5" s="21" t="s">
        <v>45</v>
      </c>
      <c r="B5" s="22" t="s">
        <v>46</v>
      </c>
      <c r="C5" s="22">
        <v>2</v>
      </c>
      <c r="D5" s="23" t="s">
        <v>47</v>
      </c>
      <c r="E5" s="23" t="s">
        <v>76</v>
      </c>
      <c r="F5" s="23" t="s">
        <v>48</v>
      </c>
      <c r="G5" s="24">
        <v>45516</v>
      </c>
      <c r="H5" s="22">
        <v>20</v>
      </c>
      <c r="I5" s="22">
        <v>18</v>
      </c>
      <c r="J5" s="23" t="s">
        <v>77</v>
      </c>
      <c r="K5" s="23" t="s">
        <v>49</v>
      </c>
      <c r="L5" s="23" t="s">
        <v>50</v>
      </c>
      <c r="M5" s="23" t="s">
        <v>78</v>
      </c>
      <c r="N5" s="25">
        <v>3000</v>
      </c>
      <c r="O5" s="25">
        <v>500</v>
      </c>
      <c r="P5" s="25">
        <v>1500</v>
      </c>
      <c r="Q5" s="23"/>
      <c r="R5" s="23"/>
      <c r="S5" s="25"/>
      <c r="T5" s="25">
        <v>200</v>
      </c>
      <c r="U5" s="25"/>
      <c r="V5" s="25"/>
      <c r="W5" s="25"/>
      <c r="X5" s="25"/>
      <c r="Y5" s="25"/>
      <c r="Z5" s="25"/>
      <c r="AA5" s="25"/>
      <c r="AB5" s="25">
        <v>2</v>
      </c>
      <c r="AC5" s="25"/>
      <c r="AD5" s="25">
        <v>500</v>
      </c>
      <c r="AE5" s="23"/>
      <c r="AF5" s="23"/>
      <c r="AG5" s="25"/>
      <c r="AH5" s="25">
        <v>4700</v>
      </c>
      <c r="AI5" s="23" t="s">
        <v>79</v>
      </c>
      <c r="AJ5" s="23" t="s">
        <v>80</v>
      </c>
      <c r="AK5" s="25">
        <v>3000</v>
      </c>
      <c r="AL5" s="25">
        <v>5510</v>
      </c>
      <c r="AM5" s="25">
        <v>6234</v>
      </c>
      <c r="AN5" s="25">
        <v>3000</v>
      </c>
      <c r="AO5" s="25">
        <v>3000</v>
      </c>
      <c r="AP5" s="25">
        <v>0</v>
      </c>
      <c r="AQ5" s="25">
        <v>3000</v>
      </c>
      <c r="AR5" s="25">
        <v>0.16</v>
      </c>
      <c r="AS5" s="25">
        <v>0.08</v>
      </c>
      <c r="AT5" s="25">
        <v>6.8500000000000005E-2</v>
      </c>
      <c r="AU5" s="25">
        <v>0.02</v>
      </c>
      <c r="AV5" s="25">
        <v>8.0000000000000002E-3</v>
      </c>
      <c r="AW5" s="25">
        <v>2E-3</v>
      </c>
      <c r="AX5" s="25">
        <v>2E-3</v>
      </c>
      <c r="AY5" s="25">
        <v>0</v>
      </c>
      <c r="AZ5" s="25">
        <v>0.12</v>
      </c>
      <c r="BA5" s="25">
        <v>881.6</v>
      </c>
      <c r="BB5" s="25">
        <v>427.03</v>
      </c>
      <c r="BC5" s="25">
        <v>24</v>
      </c>
      <c r="BD5" s="25">
        <v>6</v>
      </c>
      <c r="BE5" s="25">
        <v>0</v>
      </c>
      <c r="BF5" s="25">
        <v>360</v>
      </c>
      <c r="BG5" s="25">
        <v>1698.63</v>
      </c>
      <c r="BH5" s="25">
        <v>440.8</v>
      </c>
      <c r="BI5" s="25">
        <v>124.68</v>
      </c>
      <c r="BJ5" s="25">
        <v>6</v>
      </c>
      <c r="BK5" s="25">
        <v>360</v>
      </c>
      <c r="BL5" s="25">
        <v>931.48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3768.52</v>
      </c>
      <c r="BS5" s="25"/>
      <c r="BT5" s="25"/>
      <c r="BU5" s="25"/>
      <c r="BV5" s="25">
        <v>3768.52</v>
      </c>
      <c r="BW5" s="26">
        <v>0</v>
      </c>
    </row>
    <row r="781" spans="2:5">
      <c r="B781" s="4">
        <v>12000</v>
      </c>
      <c r="C781" s="5">
        <v>18000</v>
      </c>
      <c r="D781" s="3">
        <v>11</v>
      </c>
      <c r="E781" s="3">
        <v>10</v>
      </c>
    </row>
    <row r="782" spans="2:5">
      <c r="C782" s="5">
        <v>23</v>
      </c>
      <c r="D782" s="3">
        <v>0.47826086956521702</v>
      </c>
      <c r="E782" s="3">
        <v>0.434782608695652</v>
      </c>
    </row>
    <row r="783" spans="2:5">
      <c r="C783" s="5" t="s">
        <v>51</v>
      </c>
      <c r="D783" s="3">
        <v>5739.1304347826099</v>
      </c>
    </row>
    <row r="784" spans="2:5">
      <c r="C784" s="5" t="s">
        <v>52</v>
      </c>
      <c r="E784" s="3">
        <v>7826.0869565217399</v>
      </c>
    </row>
    <row r="785" spans="2:6">
      <c r="C785" s="5" t="s">
        <v>53</v>
      </c>
      <c r="D785" s="3">
        <v>4434.7826086956502</v>
      </c>
    </row>
    <row r="789" spans="2:6">
      <c r="B789" s="4">
        <v>23</v>
      </c>
      <c r="C789" s="5">
        <v>12000</v>
      </c>
      <c r="D789" s="3">
        <v>2</v>
      </c>
      <c r="E789" s="3">
        <v>21</v>
      </c>
      <c r="F789" s="3">
        <v>0.625</v>
      </c>
    </row>
    <row r="791" spans="2:6">
      <c r="C791" s="5" t="s">
        <v>54</v>
      </c>
      <c r="E791" s="3">
        <v>10956.5217391304</v>
      </c>
      <c r="F791" s="3">
        <v>326.08695652173901</v>
      </c>
    </row>
  </sheetData>
  <mergeCells count="67">
    <mergeCell ref="BV2:BV4"/>
    <mergeCell ref="BW2:BW4"/>
    <mergeCell ref="BQ2:BQ4"/>
    <mergeCell ref="BR2:BR4"/>
    <mergeCell ref="BS2:BS4"/>
    <mergeCell ref="BT2:BT4"/>
    <mergeCell ref="BU2:BU4"/>
    <mergeCell ref="BL3:BL4"/>
    <mergeCell ref="BM2:BM4"/>
    <mergeCell ref="BN2:BN4"/>
    <mergeCell ref="BO2:BO4"/>
    <mergeCell ref="BP2:BP4"/>
    <mergeCell ref="AG2:AG4"/>
    <mergeCell ref="AH2:AH4"/>
    <mergeCell ref="BI3:BI4"/>
    <mergeCell ref="BJ3:BJ4"/>
    <mergeCell ref="BK3:BK4"/>
    <mergeCell ref="Y2:Y4"/>
    <mergeCell ref="Z2:Z4"/>
    <mergeCell ref="AA2:AA4"/>
    <mergeCell ref="AC3:AC4"/>
    <mergeCell ref="AC2:AF2"/>
    <mergeCell ref="AD3:AD4"/>
    <mergeCell ref="AE3:AE4"/>
    <mergeCell ref="AF3:AF4"/>
    <mergeCell ref="T2:T4"/>
    <mergeCell ref="U2:U4"/>
    <mergeCell ref="V2:V4"/>
    <mergeCell ref="W2:W4"/>
    <mergeCell ref="X2:X4"/>
    <mergeCell ref="O2:O4"/>
    <mergeCell ref="P2:P4"/>
    <mergeCell ref="Q2:Q4"/>
    <mergeCell ref="R2:R4"/>
    <mergeCell ref="S2:S4"/>
    <mergeCell ref="AT3:AU3"/>
    <mergeCell ref="AV3:AW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AK2:AQ2"/>
    <mergeCell ref="AR2:AZ2"/>
    <mergeCell ref="BA2:BG2"/>
    <mergeCell ref="BH2:BK2"/>
    <mergeCell ref="AI2:AI4"/>
    <mergeCell ref="AJ2:AJ4"/>
    <mergeCell ref="AK3:AK4"/>
    <mergeCell ref="BA3:BA4"/>
    <mergeCell ref="BB3:BB4"/>
    <mergeCell ref="BC3:BC4"/>
    <mergeCell ref="BD3:BD4"/>
    <mergeCell ref="BE3:BE4"/>
    <mergeCell ref="BF3:BF4"/>
    <mergeCell ref="BG3:BG4"/>
    <mergeCell ref="BH3:BH4"/>
    <mergeCell ref="AR3:AS3"/>
  </mergeCells>
  <phoneticPr fontId="7" type="noConversion"/>
  <conditionalFormatting sqref="F2:F4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G2:G4">
    <cfRule type="cellIs" dxfId="0" priority="1" operator="between">
      <formula>20130701</formula>
      <formula>20130731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员工工资条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chencao</cp:lastModifiedBy>
  <dcterms:created xsi:type="dcterms:W3CDTF">2025-07-29T06:38:00Z</dcterms:created>
  <dcterms:modified xsi:type="dcterms:W3CDTF">2026-03-22T02:09:55Z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98E2F3C3ECEA4244891AF843C5FA21D2_13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